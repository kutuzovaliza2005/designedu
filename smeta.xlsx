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13_ncr:1_{4C2C2CB0-A1C4-4F9A-A7D4-8624B234B794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Лист1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2" l="1"/>
  <c r="G10" i="2"/>
  <c r="G11" i="2"/>
  <c r="G13" i="2"/>
  <c r="G16" i="2"/>
  <c r="G17" i="2"/>
  <c r="D45" i="2"/>
  <c r="D44" i="2"/>
  <c r="D43" i="2"/>
  <c r="D42" i="2"/>
  <c r="G18" i="2" s="1"/>
  <c r="H18" i="2" s="1"/>
  <c r="D41" i="2"/>
  <c r="D40" i="2"/>
  <c r="G15" i="2" s="1"/>
  <c r="H15" i="2" s="1"/>
  <c r="D39" i="2"/>
  <c r="D38" i="2"/>
  <c r="D37" i="2"/>
  <c r="G5" i="2" s="1"/>
  <c r="D36" i="2"/>
  <c r="G2" i="2" s="1"/>
  <c r="H2" i="2" s="1"/>
  <c r="G3" i="2"/>
  <c r="H3" i="2" s="1"/>
  <c r="F21" i="1"/>
  <c r="G21" i="1" s="1"/>
  <c r="F20" i="1"/>
  <c r="G20" i="1" s="1"/>
  <c r="F19" i="1"/>
  <c r="G19" i="1" s="1"/>
  <c r="F18" i="1"/>
  <c r="G18" i="1" s="1"/>
  <c r="G17" i="1"/>
  <c r="H17" i="1" s="1"/>
  <c r="F17" i="1"/>
  <c r="F16" i="1"/>
  <c r="G16" i="1" s="1"/>
  <c r="F15" i="1"/>
  <c r="G15" i="1" s="1"/>
  <c r="F14" i="1"/>
  <c r="G14" i="1" s="1"/>
  <c r="F13" i="1"/>
  <c r="G13" i="1" s="1"/>
  <c r="F12" i="1"/>
  <c r="G12" i="1" s="1"/>
  <c r="H12" i="1" s="1"/>
  <c r="F11" i="1"/>
  <c r="G11" i="1" s="1"/>
  <c r="F10" i="1"/>
  <c r="G10" i="1" s="1"/>
  <c r="F9" i="1"/>
  <c r="G9" i="1" s="1"/>
  <c r="F8" i="1"/>
  <c r="G8" i="1" s="1"/>
  <c r="F7" i="1"/>
  <c r="G7" i="1" s="1"/>
  <c r="H7" i="1" s="1"/>
  <c r="H6" i="1"/>
  <c r="F6" i="1"/>
  <c r="G6" i="1" s="1"/>
  <c r="F5" i="1"/>
  <c r="G5" i="1" s="1"/>
  <c r="F4" i="1"/>
  <c r="G4" i="1" s="1"/>
  <c r="F3" i="1"/>
  <c r="G3" i="1" s="1"/>
  <c r="K2" i="1"/>
  <c r="I2" i="1"/>
  <c r="J2" i="1" s="1"/>
  <c r="G2" i="1"/>
  <c r="H2" i="1" s="1"/>
  <c r="F2" i="1"/>
  <c r="G7" i="2" l="1"/>
  <c r="H7" i="2" s="1"/>
  <c r="G19" i="2"/>
  <c r="H19" i="2" s="1"/>
  <c r="G20" i="2"/>
  <c r="H20" i="2" s="1"/>
  <c r="H10" i="2"/>
  <c r="H11" i="2"/>
  <c r="H17" i="2"/>
  <c r="H11" i="1"/>
  <c r="G4" i="2"/>
  <c r="H4" i="2" s="1"/>
  <c r="G12" i="2"/>
  <c r="H18" i="1"/>
  <c r="H5" i="2"/>
  <c r="G14" i="2"/>
  <c r="H14" i="2" s="1"/>
  <c r="H13" i="1"/>
  <c r="H8" i="1"/>
  <c r="H6" i="2"/>
  <c r="H3" i="1"/>
  <c r="H19" i="1"/>
  <c r="H14" i="1"/>
  <c r="H16" i="2"/>
  <c r="H9" i="1"/>
  <c r="H4" i="1"/>
  <c r="H20" i="1"/>
  <c r="G8" i="2"/>
  <c r="H8" i="2" s="1"/>
  <c r="H15" i="1"/>
  <c r="H10" i="1"/>
  <c r="H5" i="1"/>
  <c r="H21" i="1"/>
  <c r="H16" i="1"/>
  <c r="H13" i="2" l="1"/>
  <c r="H12" i="2"/>
  <c r="H21" i="2"/>
  <c r="F21" i="2"/>
</calcChain>
</file>

<file path=xl/sharedStrings.xml><?xml version="1.0" encoding="utf-8"?>
<sst xmlns="http://schemas.openxmlformats.org/spreadsheetml/2006/main" count="138" uniqueCount="89">
  <si>
    <t>№ п/п</t>
  </si>
  <si>
    <t>Разрешение</t>
  </si>
  <si>
    <t>%</t>
  </si>
  <si>
    <t>Человек</t>
  </si>
  <si>
    <t>Сумма покупки в месяц</t>
  </si>
  <si>
    <t>Срок окупаемости, мес.</t>
  </si>
  <si>
    <t>Ежемесячное отсеивание</t>
  </si>
  <si>
    <t>Сумма</t>
  </si>
  <si>
    <t>Стоимость переработки сайта под новое разрешение</t>
  </si>
  <si>
    <t>1920x1080 16:9 HD 1080</t>
  </si>
  <si>
    <t>1536x864</t>
  </si>
  <si>
    <t>1366x768 HD</t>
  </si>
  <si>
    <t>Мобилка</t>
  </si>
  <si>
    <t>800x600 4:3 SVGA</t>
  </si>
  <si>
    <t>Десктоп</t>
  </si>
  <si>
    <t>1440x900 8:5 WSXGA</t>
  </si>
  <si>
    <t>2560x1440</t>
  </si>
  <si>
    <t>1280x720 16:9 HD 720</t>
  </si>
  <si>
    <t>393x873</t>
  </si>
  <si>
    <t>360x800</t>
  </si>
  <si>
    <t>1680x1050 8:5 WSXGA+</t>
  </si>
  <si>
    <t>414x896</t>
  </si>
  <si>
    <t>1280x1024 5:4 SXGA</t>
  </si>
  <si>
    <t>1600x900 16:9 HD+ 900p</t>
  </si>
  <si>
    <t>390x844</t>
  </si>
  <si>
    <t>393x851</t>
  </si>
  <si>
    <t>375x812</t>
  </si>
  <si>
    <t>412x915</t>
  </si>
  <si>
    <t>1920x1200 8:5 WUXGA</t>
  </si>
  <si>
    <t>1024x768 4:3 XVGA</t>
  </si>
  <si>
    <t>360x780</t>
  </si>
  <si>
    <t>Роли</t>
  </si>
  <si>
    <t>Исполнители</t>
  </si>
  <si>
    <t>Работа</t>
  </si>
  <si>
    <t>Контакты</t>
  </si>
  <si>
    <t>Время, час.</t>
  </si>
  <si>
    <t>Стоимость, руб.</t>
  </si>
  <si>
    <t>Цена, руб.</t>
  </si>
  <si>
    <t>Примечания</t>
  </si>
  <si>
    <t>Менеджер проекта</t>
  </si>
  <si>
    <t>Контактный номер или идентификатор в мессенджере</t>
  </si>
  <si>
    <t>Разработка концепции сайта</t>
  </si>
  <si>
    <t>Курирование каждого этапа</t>
  </si>
  <si>
    <t>Взаимодействие с членами команды на каждом этапе</t>
  </si>
  <si>
    <t>Архитектор</t>
  </si>
  <si>
    <t>Разработка архитектуры вебприложения</t>
  </si>
  <si>
    <t>Системный аналитик</t>
  </si>
  <si>
    <t>Тестирование сайта на функциональное соответствие</t>
  </si>
  <si>
    <t>Технический писатель</t>
  </si>
  <si>
    <t>Написание технического задания</t>
  </si>
  <si>
    <t>Создание рабочей документации для администратора</t>
  </si>
  <si>
    <t>Создание рабочей документации для пользователя</t>
  </si>
  <si>
    <r>
      <rPr>
        <sz val="11"/>
        <color theme="1"/>
        <rFont val="Calibri"/>
        <family val="2"/>
        <charset val="204"/>
      </rPr>
      <t>Дизайнер интерфейса (</t>
    </r>
    <r>
      <rPr>
        <sz val="14"/>
        <color rgb="FF000000"/>
        <rFont val="Times New Roman"/>
        <family val="1"/>
        <charset val="128"/>
      </rPr>
      <t>UI-</t>
    </r>
    <r>
      <rPr>
        <sz val="11"/>
        <color theme="1"/>
        <rFont val="Calibri"/>
        <family val="2"/>
        <charset val="204"/>
      </rPr>
      <t>дизайнер)</t>
    </r>
  </si>
  <si>
    <t>Разработка UI-дизайна</t>
  </si>
  <si>
    <r>
      <rPr>
        <sz val="11"/>
        <color theme="1"/>
        <rFont val="Calibri"/>
        <family val="2"/>
        <charset val="204"/>
      </rPr>
      <t>Дизайнер-эргономист (</t>
    </r>
    <r>
      <rPr>
        <sz val="14"/>
        <color rgb="FF000000"/>
        <rFont val="Times New Roman"/>
        <family val="1"/>
        <charset val="128"/>
      </rPr>
      <t>UX-</t>
    </r>
    <r>
      <rPr>
        <sz val="11"/>
        <color theme="1"/>
        <rFont val="Calibri"/>
        <family val="2"/>
        <charset val="204"/>
      </rPr>
      <t>дизайнер)</t>
    </r>
  </si>
  <si>
    <t>Разработка UX-дизайна</t>
  </si>
  <si>
    <t>Верстальщик</t>
  </si>
  <si>
    <t>Программист</t>
  </si>
  <si>
    <t>Написание логики сайта</t>
  </si>
  <si>
    <t>Тестировщик</t>
  </si>
  <si>
    <t>Тестирование сайта на непредусмотренные возможности</t>
  </si>
  <si>
    <t>Нагрузочное тестирование сайта</t>
  </si>
  <si>
    <t>Тестирование сайта наличие ошибок</t>
  </si>
  <si>
    <t>Администратор</t>
  </si>
  <si>
    <t>Приобретение домена</t>
  </si>
  <si>
    <t>Приобретение хостинга</t>
  </si>
  <si>
    <t>Размещение сайта в сети Интернет</t>
  </si>
  <si>
    <t>Коэффициент</t>
  </si>
  <si>
    <t>На руки</t>
  </si>
  <si>
    <t>З/п</t>
  </si>
  <si>
    <t>Оформление сайта в соответствии с разработанным дизайном: написание сайта без логики (воплощение дизайна в жизнь: только HTML+CSS)</t>
  </si>
  <si>
    <t>Воронько Е.</t>
  </si>
  <si>
    <t xml:space="preserve">Раскатова А. </t>
  </si>
  <si>
    <t>Котлубаева А.</t>
  </si>
  <si>
    <t>Кутузова Е.</t>
  </si>
  <si>
    <t>ИТОГО</t>
  </si>
  <si>
    <t>Открыть проект в системе контроля версий</t>
  </si>
  <si>
    <t>Исполнено 28.05.2026</t>
  </si>
  <si>
    <t>Исполнено 27.05.2026</t>
  </si>
  <si>
    <t>Исполнено 01.05.2026</t>
  </si>
  <si>
    <t>Исполнено 04.05.2026</t>
  </si>
  <si>
    <t>Исполнено 15.05.2026</t>
  </si>
  <si>
    <t>Исполнено 6.05.2026</t>
  </si>
  <si>
    <t>Исполнено 16.05.2026</t>
  </si>
  <si>
    <t>Исполнено 18.05.2026</t>
  </si>
  <si>
    <t>Исполнено 23.05.2026</t>
  </si>
  <si>
    <t>Исполнено 20.05.2026</t>
  </si>
  <si>
    <t>Исполнено 25.05.2026</t>
  </si>
  <si>
    <t>Исполнено 22.05.2026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</si>
</sst>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0"/>
    <numFmt numFmtId="165" formatCode="[$-419]#,###.00"/>
  </numFmts>
  <fonts count="5">
    <font>
      <sz val="11"/>
      <color theme="1"/>
      <name val="Calibri"/>
      <family val="2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14"/>
      <color rgb="FF000000"/>
      <name val="Times New Roman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10" fontId="2" fillId="0" borderId="0" xfId="0" applyNumberFormat="1" applyFont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2" fillId="4" borderId="0" xfId="0" applyFont="1" applyFill="1" applyAlignment="1">
      <alignment vertical="center"/>
    </xf>
    <xf numFmtId="0" fontId="1" fillId="2" borderId="0" xfId="0" applyFont="1" applyFill="1"/>
    <xf numFmtId="0" fontId="3" fillId="0" borderId="1" xfId="0" applyFont="1" applyBorder="1" applyAlignment="1">
      <alignment horizontal="center"/>
    </xf>
    <xf numFmtId="0" fontId="0" fillId="0" borderId="1" xfId="0" applyFont="1" applyBorder="1"/>
    <xf numFmtId="164" fontId="0" fillId="0" borderId="1" xfId="0" applyNumberFormat="1" applyFont="1" applyBorder="1" applyAlignment="1">
      <alignment horizontal="right"/>
    </xf>
    <xf numFmtId="165" fontId="0" fillId="0" borderId="1" xfId="0" applyNumberFormat="1" applyFont="1" applyBorder="1" applyAlignment="1">
      <alignment horizontal="right"/>
    </xf>
    <xf numFmtId="165" fontId="0" fillId="0" borderId="0" xfId="0" applyNumberFormat="1"/>
    <xf numFmtId="2" fontId="0" fillId="0" borderId="1" xfId="0" applyNumberFormat="1" applyFont="1" applyBorder="1" applyAlignment="1">
      <alignment horizontal="right"/>
    </xf>
    <xf numFmtId="0" fontId="0" fillId="0" borderId="2" xfId="0" applyFont="1" applyFill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Normal="100" workbookViewId="0">
      <selection activeCell="F2" sqref="F2"/>
    </sheetView>
  </sheetViews>
  <sheetFormatPr defaultColWidth="9.109375" defaultRowHeight="18"/>
  <cols>
    <col min="1" max="2" width="9.109375" style="1"/>
    <col min="3" max="3" width="8.109375" style="1" customWidth="1"/>
    <col min="4" max="4" width="29.44140625" style="1" customWidth="1"/>
    <col min="5" max="5" width="12" style="1" customWidth="1"/>
    <col min="6" max="6" width="10.5546875" style="1" customWidth="1"/>
    <col min="7" max="7" width="29.44140625" style="1" customWidth="1"/>
    <col min="8" max="8" width="29.5546875" style="1" customWidth="1"/>
    <col min="9" max="9" width="29.33203125" style="1" customWidth="1"/>
    <col min="10" max="16384" width="9.109375" style="1"/>
  </cols>
  <sheetData>
    <row r="1" spans="1:11">
      <c r="B1" s="1">
        <v>30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B2" s="1">
        <v>1000</v>
      </c>
      <c r="C2" s="2">
        <v>1</v>
      </c>
      <c r="D2" s="3" t="s">
        <v>9</v>
      </c>
      <c r="E2" s="4">
        <v>0.2321</v>
      </c>
      <c r="F2" s="1">
        <f t="shared" ref="F2:F21" si="0">$B$1*E2</f>
        <v>6.9630000000000001</v>
      </c>
      <c r="G2" s="1">
        <f t="shared" ref="G2:G21" si="1">F2*$B$2</f>
        <v>6963</v>
      </c>
      <c r="H2" s="1">
        <f t="shared" ref="H2:H21" si="2">$K$2/G2</f>
        <v>3.4467901766479967</v>
      </c>
      <c r="I2" s="1">
        <f>B1-(F2+F5)</f>
        <v>21.45</v>
      </c>
      <c r="J2" s="1">
        <f>I2*B2</f>
        <v>21450</v>
      </c>
      <c r="K2" s="1">
        <f>24*1000</f>
        <v>24000</v>
      </c>
    </row>
    <row r="3" spans="1:11">
      <c r="C3" s="2">
        <v>2</v>
      </c>
      <c r="D3" s="3" t="s">
        <v>10</v>
      </c>
      <c r="E3" s="4">
        <v>7.2300000000000003E-2</v>
      </c>
      <c r="F3" s="1">
        <f t="shared" si="0"/>
        <v>2.169</v>
      </c>
      <c r="G3" s="5">
        <f t="shared" si="1"/>
        <v>2169</v>
      </c>
      <c r="H3" s="1">
        <f t="shared" si="2"/>
        <v>11.065006915629322</v>
      </c>
    </row>
    <row r="4" spans="1:11">
      <c r="C4" s="2">
        <v>3</v>
      </c>
      <c r="D4" s="3" t="s">
        <v>11</v>
      </c>
      <c r="E4" s="4">
        <v>6.2899999999999998E-2</v>
      </c>
      <c r="F4" s="1">
        <f t="shared" si="0"/>
        <v>1.887</v>
      </c>
      <c r="G4" s="5">
        <f t="shared" si="1"/>
        <v>1887</v>
      </c>
      <c r="H4" s="1">
        <f t="shared" si="2"/>
        <v>12.718600953895072</v>
      </c>
    </row>
    <row r="5" spans="1:11">
      <c r="A5" s="6" t="s">
        <v>12</v>
      </c>
      <c r="C5" s="2">
        <v>4</v>
      </c>
      <c r="D5" s="7" t="s">
        <v>13</v>
      </c>
      <c r="E5" s="4">
        <v>5.2900000000000003E-2</v>
      </c>
      <c r="F5" s="1">
        <f t="shared" si="0"/>
        <v>1.5870000000000002</v>
      </c>
      <c r="G5" s="1">
        <f t="shared" si="1"/>
        <v>1587.0000000000002</v>
      </c>
      <c r="H5" s="1">
        <f t="shared" si="2"/>
        <v>15.122873345935725</v>
      </c>
    </row>
    <row r="6" spans="1:11">
      <c r="A6" s="8" t="s">
        <v>14</v>
      </c>
      <c r="C6" s="2">
        <v>5</v>
      </c>
      <c r="D6" s="3" t="s">
        <v>15</v>
      </c>
      <c r="E6" s="4">
        <v>4.9000000000000002E-2</v>
      </c>
      <c r="F6" s="1">
        <f t="shared" si="0"/>
        <v>1.47</v>
      </c>
      <c r="G6" s="5">
        <f t="shared" si="1"/>
        <v>1470</v>
      </c>
      <c r="H6" s="1">
        <f t="shared" si="2"/>
        <v>16.326530612244898</v>
      </c>
    </row>
    <row r="7" spans="1:11">
      <c r="C7" s="2">
        <v>6</v>
      </c>
      <c r="D7" s="3" t="s">
        <v>16</v>
      </c>
      <c r="E7" s="4">
        <v>4.41E-2</v>
      </c>
      <c r="F7" s="1">
        <f t="shared" si="0"/>
        <v>1.323</v>
      </c>
      <c r="G7" s="5">
        <f t="shared" si="1"/>
        <v>1323</v>
      </c>
      <c r="H7" s="1">
        <f t="shared" si="2"/>
        <v>18.140589569160998</v>
      </c>
    </row>
    <row r="8" spans="1:11">
      <c r="C8" s="2">
        <v>7</v>
      </c>
      <c r="D8" s="3" t="s">
        <v>17</v>
      </c>
      <c r="E8" s="4">
        <v>2.3E-2</v>
      </c>
      <c r="F8" s="1">
        <f t="shared" si="0"/>
        <v>0.69</v>
      </c>
      <c r="G8" s="5">
        <f t="shared" si="1"/>
        <v>690</v>
      </c>
      <c r="H8" s="1">
        <f t="shared" si="2"/>
        <v>34.782608695652172</v>
      </c>
    </row>
    <row r="9" spans="1:11">
      <c r="C9" s="2">
        <v>8</v>
      </c>
      <c r="D9" s="7" t="s">
        <v>18</v>
      </c>
      <c r="E9" s="4">
        <v>2.29E-2</v>
      </c>
      <c r="F9" s="1">
        <f t="shared" si="0"/>
        <v>0.68700000000000006</v>
      </c>
      <c r="G9" s="5">
        <f t="shared" si="1"/>
        <v>687</v>
      </c>
      <c r="H9" s="1">
        <f t="shared" si="2"/>
        <v>34.93449781659389</v>
      </c>
    </row>
    <row r="10" spans="1:11">
      <c r="C10" s="2">
        <v>9</v>
      </c>
      <c r="D10" s="7" t="s">
        <v>19</v>
      </c>
      <c r="E10" s="4">
        <v>1.9699999999999999E-2</v>
      </c>
      <c r="F10" s="1">
        <f t="shared" si="0"/>
        <v>0.59099999999999997</v>
      </c>
      <c r="G10" s="5">
        <f t="shared" si="1"/>
        <v>591</v>
      </c>
      <c r="H10" s="1">
        <f t="shared" si="2"/>
        <v>40.609137055837564</v>
      </c>
    </row>
    <row r="11" spans="1:11">
      <c r="C11" s="2">
        <v>10</v>
      </c>
      <c r="D11" s="3" t="s">
        <v>20</v>
      </c>
      <c r="E11" s="4">
        <v>1.8200000000000001E-2</v>
      </c>
      <c r="F11" s="1">
        <f t="shared" si="0"/>
        <v>0.54600000000000004</v>
      </c>
      <c r="G11" s="5">
        <f t="shared" si="1"/>
        <v>546</v>
      </c>
      <c r="H11" s="1">
        <f t="shared" si="2"/>
        <v>43.956043956043956</v>
      </c>
    </row>
    <row r="12" spans="1:11">
      <c r="C12" s="2">
        <v>11</v>
      </c>
      <c r="D12" s="7" t="s">
        <v>21</v>
      </c>
      <c r="E12" s="4">
        <v>1.77E-2</v>
      </c>
      <c r="F12" s="1">
        <f t="shared" si="0"/>
        <v>0.53100000000000003</v>
      </c>
      <c r="G12" s="5">
        <f t="shared" si="1"/>
        <v>531</v>
      </c>
      <c r="H12" s="1">
        <f t="shared" si="2"/>
        <v>45.197740112994353</v>
      </c>
    </row>
    <row r="13" spans="1:11">
      <c r="C13" s="2">
        <v>12</v>
      </c>
      <c r="D13" s="3" t="s">
        <v>22</v>
      </c>
      <c r="E13" s="4">
        <v>1.66E-2</v>
      </c>
      <c r="F13" s="1">
        <f t="shared" si="0"/>
        <v>0.498</v>
      </c>
      <c r="G13" s="5">
        <f t="shared" si="1"/>
        <v>498</v>
      </c>
      <c r="H13" s="1">
        <f t="shared" si="2"/>
        <v>48.192771084337352</v>
      </c>
    </row>
    <row r="14" spans="1:11">
      <c r="C14" s="2">
        <v>13</v>
      </c>
      <c r="D14" s="3" t="s">
        <v>23</v>
      </c>
      <c r="E14" s="4">
        <v>1.5800000000000002E-2</v>
      </c>
      <c r="F14" s="1">
        <f t="shared" si="0"/>
        <v>0.47400000000000003</v>
      </c>
      <c r="G14" s="5">
        <f t="shared" si="1"/>
        <v>474.00000000000006</v>
      </c>
      <c r="H14" s="1">
        <f t="shared" si="2"/>
        <v>50.632911392405056</v>
      </c>
    </row>
    <row r="15" spans="1:11">
      <c r="C15" s="2">
        <v>14</v>
      </c>
      <c r="D15" s="7" t="s">
        <v>24</v>
      </c>
      <c r="E15" s="4">
        <v>1.5100000000000001E-2</v>
      </c>
      <c r="F15" s="1">
        <f t="shared" si="0"/>
        <v>0.45300000000000001</v>
      </c>
      <c r="G15" s="5">
        <f t="shared" si="1"/>
        <v>453</v>
      </c>
      <c r="H15" s="1">
        <f t="shared" si="2"/>
        <v>52.980132450331126</v>
      </c>
    </row>
    <row r="16" spans="1:11">
      <c r="C16" s="2">
        <v>15</v>
      </c>
      <c r="D16" s="7" t="s">
        <v>25</v>
      </c>
      <c r="E16" s="4">
        <v>1.4E-2</v>
      </c>
      <c r="F16" s="1">
        <f t="shared" si="0"/>
        <v>0.42</v>
      </c>
      <c r="G16" s="5">
        <f t="shared" si="1"/>
        <v>420</v>
      </c>
      <c r="H16" s="1">
        <f t="shared" si="2"/>
        <v>57.142857142857146</v>
      </c>
    </row>
    <row r="17" spans="3:8">
      <c r="C17" s="2">
        <v>16</v>
      </c>
      <c r="D17" s="7" t="s">
        <v>26</v>
      </c>
      <c r="E17" s="4">
        <v>1.26E-2</v>
      </c>
      <c r="F17" s="1">
        <f t="shared" si="0"/>
        <v>0.378</v>
      </c>
      <c r="G17" s="5">
        <f t="shared" si="1"/>
        <v>378</v>
      </c>
      <c r="H17" s="1">
        <f t="shared" si="2"/>
        <v>63.492063492063494</v>
      </c>
    </row>
    <row r="18" spans="3:8">
      <c r="C18" s="2">
        <v>17</v>
      </c>
      <c r="D18" s="7" t="s">
        <v>27</v>
      </c>
      <c r="E18" s="4">
        <v>1.1599999999999999E-2</v>
      </c>
      <c r="F18" s="1">
        <f t="shared" si="0"/>
        <v>0.34799999999999998</v>
      </c>
      <c r="G18" s="5">
        <f t="shared" si="1"/>
        <v>348</v>
      </c>
      <c r="H18" s="1">
        <f t="shared" si="2"/>
        <v>68.965517241379317</v>
      </c>
    </row>
    <row r="19" spans="3:8">
      <c r="C19" s="2">
        <v>18</v>
      </c>
      <c r="D19" s="3" t="s">
        <v>28</v>
      </c>
      <c r="E19" s="4">
        <v>1.0699999999999999E-2</v>
      </c>
      <c r="F19" s="1">
        <f t="shared" si="0"/>
        <v>0.32100000000000001</v>
      </c>
      <c r="G19" s="5">
        <f t="shared" si="1"/>
        <v>321</v>
      </c>
      <c r="H19" s="1">
        <f t="shared" si="2"/>
        <v>74.766355140186917</v>
      </c>
    </row>
    <row r="20" spans="3:8">
      <c r="C20" s="2">
        <v>19</v>
      </c>
      <c r="D20" s="3" t="s">
        <v>29</v>
      </c>
      <c r="E20" s="4">
        <v>1.04E-2</v>
      </c>
      <c r="F20" s="1">
        <f t="shared" si="0"/>
        <v>0.312</v>
      </c>
      <c r="G20" s="5">
        <f t="shared" si="1"/>
        <v>312</v>
      </c>
      <c r="H20" s="1">
        <f t="shared" si="2"/>
        <v>76.92307692307692</v>
      </c>
    </row>
    <row r="21" spans="3:8">
      <c r="C21" s="2">
        <v>20</v>
      </c>
      <c r="D21" s="7" t="s">
        <v>30</v>
      </c>
      <c r="E21" s="4">
        <v>8.8000000000000005E-3</v>
      </c>
      <c r="F21" s="1">
        <f t="shared" si="0"/>
        <v>0.26400000000000001</v>
      </c>
      <c r="G21" s="5">
        <f t="shared" si="1"/>
        <v>264</v>
      </c>
      <c r="H21" s="1">
        <f t="shared" si="2"/>
        <v>90.909090909090907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tabSelected="1" topLeftCell="C1" zoomScaleNormal="100" workbookViewId="0">
      <selection activeCell="I26" sqref="I26"/>
    </sheetView>
  </sheetViews>
  <sheetFormatPr defaultColWidth="10.109375" defaultRowHeight="14.4"/>
  <cols>
    <col min="1" max="1" width="6.88671875" customWidth="1"/>
    <col min="2" max="2" width="35.5546875" customWidth="1"/>
    <col min="3" max="3" width="15.109375" customWidth="1"/>
    <col min="4" max="4" width="40.88671875" customWidth="1"/>
    <col min="5" max="5" width="51.21875" hidden="1" customWidth="1"/>
    <col min="6" max="6" width="12.33203125" customWidth="1"/>
    <col min="7" max="7" width="16.5546875" customWidth="1"/>
    <col min="8" max="8" width="11.109375" customWidth="1"/>
    <col min="9" max="9" width="95.21875" customWidth="1"/>
  </cols>
  <sheetData>
    <row r="1" spans="1:9">
      <c r="A1" s="9" t="s">
        <v>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</row>
    <row r="2" spans="1:9">
      <c r="A2" s="20"/>
      <c r="B2" s="10" t="s">
        <v>39</v>
      </c>
      <c r="C2" s="10" t="s">
        <v>72</v>
      </c>
      <c r="D2" s="10" t="s">
        <v>41</v>
      </c>
      <c r="E2" s="10" t="s">
        <v>40</v>
      </c>
      <c r="F2" s="14">
        <v>0.15</v>
      </c>
      <c r="G2" s="12">
        <f>VLOOKUP(B2,$B$36:$D$45,3,0)</f>
        <v>4000</v>
      </c>
      <c r="H2" s="12">
        <f t="shared" ref="H2:H20" si="0">F2*G2</f>
        <v>600</v>
      </c>
      <c r="I2" s="10" t="s">
        <v>79</v>
      </c>
    </row>
    <row r="3" spans="1:9">
      <c r="A3" s="20"/>
      <c r="B3" s="10" t="s">
        <v>39</v>
      </c>
      <c r="C3" s="10" t="s">
        <v>72</v>
      </c>
      <c r="D3" s="10" t="s">
        <v>42</v>
      </c>
      <c r="E3" s="10"/>
      <c r="F3" s="14">
        <v>2</v>
      </c>
      <c r="G3" s="12">
        <f>VLOOKUP(B3,$B$36:$D$45,3,0)</f>
        <v>4000</v>
      </c>
      <c r="H3" s="12">
        <f t="shared" si="0"/>
        <v>8000</v>
      </c>
      <c r="I3" s="10" t="s">
        <v>80</v>
      </c>
    </row>
    <row r="4" spans="1:9">
      <c r="A4" s="20"/>
      <c r="B4" s="10" t="s">
        <v>39</v>
      </c>
      <c r="C4" s="10" t="s">
        <v>72</v>
      </c>
      <c r="D4" s="10" t="s">
        <v>43</v>
      </c>
      <c r="E4" s="10"/>
      <c r="F4" s="14">
        <v>2</v>
      </c>
      <c r="G4" s="12">
        <f>VLOOKUP(B4,$B$36:$D$45,3,0)</f>
        <v>4000</v>
      </c>
      <c r="H4" s="12">
        <f t="shared" si="0"/>
        <v>8000</v>
      </c>
      <c r="I4" s="10" t="s">
        <v>82</v>
      </c>
    </row>
    <row r="5" spans="1:9">
      <c r="A5" s="20"/>
      <c r="B5" s="10" t="s">
        <v>44</v>
      </c>
      <c r="C5" s="10" t="s">
        <v>71</v>
      </c>
      <c r="D5" s="10" t="s">
        <v>45</v>
      </c>
      <c r="E5" s="10"/>
      <c r="F5" s="14">
        <v>0.15</v>
      </c>
      <c r="G5" s="12">
        <f>VLOOKUP(B5,$B$36:$D$45,3,0)</f>
        <v>8000</v>
      </c>
      <c r="H5" s="12">
        <f t="shared" si="0"/>
        <v>1200</v>
      </c>
      <c r="I5" s="10" t="s">
        <v>81</v>
      </c>
    </row>
    <row r="6" spans="1:9">
      <c r="A6" s="20"/>
      <c r="B6" s="10" t="s">
        <v>46</v>
      </c>
      <c r="C6" s="10" t="s">
        <v>71</v>
      </c>
      <c r="D6" s="10" t="s">
        <v>49</v>
      </c>
      <c r="E6" s="10"/>
      <c r="F6" s="14">
        <v>1</v>
      </c>
      <c r="G6" s="12">
        <f>VLOOKUP(B6,$B$36:$D$45,3,0)</f>
        <v>4000</v>
      </c>
      <c r="H6" s="12">
        <f t="shared" si="0"/>
        <v>4000</v>
      </c>
      <c r="I6" s="10" t="s">
        <v>83</v>
      </c>
    </row>
    <row r="7" spans="1:9" ht="18">
      <c r="A7" s="20"/>
      <c r="B7" s="10" t="s">
        <v>52</v>
      </c>
      <c r="C7" s="10" t="s">
        <v>73</v>
      </c>
      <c r="D7" s="10" t="s">
        <v>53</v>
      </c>
      <c r="E7" s="10"/>
      <c r="F7" s="14">
        <v>0.5</v>
      </c>
      <c r="G7" s="12">
        <f>VLOOKUP(B5,$B$36:$D$45,3,0)</f>
        <v>8000</v>
      </c>
      <c r="H7" s="12">
        <f t="shared" si="0"/>
        <v>4000</v>
      </c>
      <c r="I7" s="10" t="s">
        <v>84</v>
      </c>
    </row>
    <row r="8" spans="1:9" ht="18">
      <c r="A8" s="20"/>
      <c r="B8" s="10" t="s">
        <v>54</v>
      </c>
      <c r="C8" s="10" t="s">
        <v>73</v>
      </c>
      <c r="D8" s="10" t="s">
        <v>55</v>
      </c>
      <c r="E8" s="10"/>
      <c r="F8" s="14">
        <v>0.5</v>
      </c>
      <c r="G8" s="12">
        <f>VLOOKUP(B6,$B$36:$D$45,3,0)</f>
        <v>4000</v>
      </c>
      <c r="H8" s="12">
        <f t="shared" si="0"/>
        <v>2000</v>
      </c>
      <c r="I8" s="10" t="s">
        <v>84</v>
      </c>
    </row>
    <row r="9" spans="1:9">
      <c r="A9" s="20"/>
      <c r="B9" s="10" t="s">
        <v>46</v>
      </c>
      <c r="C9" s="10" t="s">
        <v>71</v>
      </c>
      <c r="D9" s="10" t="s">
        <v>76</v>
      </c>
      <c r="E9" s="10"/>
      <c r="F9" s="14">
        <v>0.05</v>
      </c>
      <c r="G9" s="12">
        <v>4000</v>
      </c>
      <c r="H9" s="12">
        <v>200</v>
      </c>
      <c r="I9" s="10" t="s">
        <v>86</v>
      </c>
    </row>
    <row r="10" spans="1:9">
      <c r="A10" s="20"/>
      <c r="B10" s="10" t="s">
        <v>56</v>
      </c>
      <c r="C10" s="10" t="s">
        <v>71</v>
      </c>
      <c r="D10" s="10" t="s">
        <v>70</v>
      </c>
      <c r="E10" s="10"/>
      <c r="F10" s="14">
        <v>0.5</v>
      </c>
      <c r="G10" s="12">
        <f>VLOOKUP(B10,$B$36:$D$45,3,0)</f>
        <v>2000</v>
      </c>
      <c r="H10" s="12">
        <f t="shared" si="0"/>
        <v>1000</v>
      </c>
      <c r="I10" s="10" t="s">
        <v>86</v>
      </c>
    </row>
    <row r="11" spans="1:9">
      <c r="A11" s="20"/>
      <c r="B11" s="10" t="s">
        <v>57</v>
      </c>
      <c r="C11" s="10" t="s">
        <v>74</v>
      </c>
      <c r="D11" s="10" t="s">
        <v>58</v>
      </c>
      <c r="E11" s="10" t="s">
        <v>40</v>
      </c>
      <c r="F11" s="14">
        <v>2</v>
      </c>
      <c r="G11" s="12">
        <f>VLOOKUP(B11,$B$36:$D$45,3,0)</f>
        <v>4000</v>
      </c>
      <c r="H11" s="12">
        <f t="shared" si="0"/>
        <v>8000</v>
      </c>
      <c r="I11" s="10" t="s">
        <v>85</v>
      </c>
    </row>
    <row r="12" spans="1:9">
      <c r="A12" s="20"/>
      <c r="B12" s="10" t="s">
        <v>59</v>
      </c>
      <c r="C12" s="10" t="s">
        <v>74</v>
      </c>
      <c r="D12" s="10" t="s">
        <v>47</v>
      </c>
      <c r="E12" s="10"/>
      <c r="F12" s="14">
        <v>0.2</v>
      </c>
      <c r="G12" s="12">
        <f>VLOOKUP(B13,$B$36:$D$45,3,0)</f>
        <v>3200</v>
      </c>
      <c r="H12" s="12">
        <f>F12*G12</f>
        <v>640</v>
      </c>
      <c r="I12" s="10" t="s">
        <v>87</v>
      </c>
    </row>
    <row r="13" spans="1:9">
      <c r="A13" s="20"/>
      <c r="B13" s="10" t="s">
        <v>59</v>
      </c>
      <c r="C13" s="10" t="s">
        <v>74</v>
      </c>
      <c r="D13" s="10" t="s">
        <v>60</v>
      </c>
      <c r="E13" s="10"/>
      <c r="F13" s="14">
        <v>0.5</v>
      </c>
      <c r="G13" s="12">
        <f>VLOOKUP(B14,$B$36:$D$45,3,0)</f>
        <v>3200</v>
      </c>
      <c r="H13" s="12">
        <f>F13*G12</f>
        <v>1600</v>
      </c>
      <c r="I13" s="10" t="s">
        <v>87</v>
      </c>
    </row>
    <row r="14" spans="1:9">
      <c r="A14" s="20"/>
      <c r="B14" s="10" t="s">
        <v>59</v>
      </c>
      <c r="C14" s="10" t="s">
        <v>74</v>
      </c>
      <c r="D14" s="10" t="s">
        <v>61</v>
      </c>
      <c r="E14" s="10" t="s">
        <v>40</v>
      </c>
      <c r="F14" s="14">
        <v>0.5</v>
      </c>
      <c r="G14" s="12">
        <f>VLOOKUP(B7,$B$36:$D$45,3,0)</f>
        <v>3200</v>
      </c>
      <c r="H14" s="12">
        <f t="shared" si="0"/>
        <v>1600</v>
      </c>
      <c r="I14" s="10" t="s">
        <v>78</v>
      </c>
    </row>
    <row r="15" spans="1:9">
      <c r="A15" s="20"/>
      <c r="B15" s="10" t="s">
        <v>59</v>
      </c>
      <c r="C15" s="10" t="s">
        <v>74</v>
      </c>
      <c r="D15" s="10" t="s">
        <v>62</v>
      </c>
      <c r="E15" s="10"/>
      <c r="F15" s="14">
        <v>0.1</v>
      </c>
      <c r="G15" s="12">
        <f>VLOOKUP(B15,$B$36:$D$45,3,0)</f>
        <v>3200</v>
      </c>
      <c r="H15" s="12">
        <f t="shared" si="0"/>
        <v>320</v>
      </c>
      <c r="I15" s="10" t="s">
        <v>78</v>
      </c>
    </row>
    <row r="16" spans="1:9">
      <c r="A16" s="20"/>
      <c r="B16" s="10" t="s">
        <v>63</v>
      </c>
      <c r="C16" s="10" t="s">
        <v>72</v>
      </c>
      <c r="D16" s="10" t="s">
        <v>64</v>
      </c>
      <c r="E16" s="10" t="s">
        <v>40</v>
      </c>
      <c r="F16" s="14">
        <v>0.1</v>
      </c>
      <c r="G16" s="12">
        <f>VLOOKUP(B16,$B$36:$D$45,3,0)</f>
        <v>2000</v>
      </c>
      <c r="H16" s="12">
        <f>F16*G16</f>
        <v>200</v>
      </c>
      <c r="I16" s="10" t="s">
        <v>88</v>
      </c>
    </row>
    <row r="17" spans="1:9">
      <c r="A17" s="20"/>
      <c r="B17" s="10" t="s">
        <v>63</v>
      </c>
      <c r="C17" s="10" t="s">
        <v>72</v>
      </c>
      <c r="D17" s="10" t="s">
        <v>65</v>
      </c>
      <c r="E17" s="10"/>
      <c r="F17" s="14">
        <v>0.1</v>
      </c>
      <c r="G17" s="12">
        <f>VLOOKUP(B10,$B$36:$D$45,3,0)</f>
        <v>2000</v>
      </c>
      <c r="H17" s="12">
        <f>F17*G17</f>
        <v>200</v>
      </c>
      <c r="I17" s="10" t="s">
        <v>88</v>
      </c>
    </row>
    <row r="18" spans="1:9">
      <c r="A18" s="20"/>
      <c r="B18" s="10" t="s">
        <v>63</v>
      </c>
      <c r="C18" s="10" t="s">
        <v>72</v>
      </c>
      <c r="D18" s="10" t="s">
        <v>66</v>
      </c>
      <c r="E18" s="10" t="s">
        <v>40</v>
      </c>
      <c r="F18" s="14">
        <v>0.2</v>
      </c>
      <c r="G18" s="12">
        <f>VLOOKUP(B10,$B$36:$D$45,3,0)</f>
        <v>2000</v>
      </c>
      <c r="H18" s="12">
        <f t="shared" si="0"/>
        <v>400</v>
      </c>
      <c r="I18" s="10" t="s">
        <v>85</v>
      </c>
    </row>
    <row r="19" spans="1:9">
      <c r="A19" s="20"/>
      <c r="B19" s="15" t="s">
        <v>48</v>
      </c>
      <c r="C19" s="10" t="s">
        <v>72</v>
      </c>
      <c r="D19" s="10" t="s">
        <v>50</v>
      </c>
      <c r="E19" s="10" t="s">
        <v>40</v>
      </c>
      <c r="F19" s="14">
        <v>0.5</v>
      </c>
      <c r="G19" s="12">
        <f>VLOOKUP(B19,$B$36:$D$45,3,0)</f>
        <v>2000</v>
      </c>
      <c r="H19" s="12">
        <f t="shared" si="0"/>
        <v>1000</v>
      </c>
      <c r="I19" s="10" t="s">
        <v>77</v>
      </c>
    </row>
    <row r="20" spans="1:9">
      <c r="A20" s="20"/>
      <c r="B20" s="15" t="s">
        <v>48</v>
      </c>
      <c r="C20" s="10" t="s">
        <v>72</v>
      </c>
      <c r="D20" s="10" t="s">
        <v>51</v>
      </c>
      <c r="E20" s="10" t="s">
        <v>40</v>
      </c>
      <c r="F20" s="14">
        <v>1</v>
      </c>
      <c r="G20" s="12">
        <f>VLOOKUP(B20,$B$36:$D$45,3,0)</f>
        <v>2000</v>
      </c>
      <c r="H20" s="12">
        <f t="shared" si="0"/>
        <v>2000</v>
      </c>
      <c r="I20" s="10" t="s">
        <v>77</v>
      </c>
    </row>
    <row r="21" spans="1:9">
      <c r="A21" s="10"/>
      <c r="B21" s="10"/>
      <c r="C21" s="10"/>
      <c r="D21" s="16" t="s">
        <v>75</v>
      </c>
      <c r="E21" s="16"/>
      <c r="F21" s="17">
        <f ca="1">SUM(F2:F26)</f>
        <v>12.499999999999998</v>
      </c>
      <c r="G21" s="18"/>
      <c r="H21" s="19">
        <f>SUM(H2:H20)</f>
        <v>44960</v>
      </c>
      <c r="I21" s="16"/>
    </row>
    <row r="22" spans="1:9">
      <c r="A22" s="10"/>
      <c r="B22" s="10"/>
      <c r="C22" s="10"/>
      <c r="D22" s="10"/>
      <c r="E22" s="10"/>
      <c r="F22" s="14"/>
      <c r="G22" s="12"/>
      <c r="H22" s="12"/>
      <c r="I22" s="10"/>
    </row>
    <row r="23" spans="1:9">
      <c r="A23" s="10"/>
      <c r="B23" s="10"/>
      <c r="C23" s="10"/>
      <c r="D23" s="10"/>
      <c r="E23" s="10"/>
      <c r="F23" s="14"/>
      <c r="G23" s="12"/>
      <c r="H23" s="12"/>
      <c r="I23" s="10"/>
    </row>
    <row r="24" spans="1:9">
      <c r="A24" s="10"/>
      <c r="B24" s="10"/>
      <c r="C24" s="10"/>
      <c r="E24" s="10"/>
      <c r="F24" s="14"/>
      <c r="G24" s="12"/>
      <c r="H24" s="12"/>
      <c r="I24" s="10"/>
    </row>
    <row r="25" spans="1:9">
      <c r="A25" s="10"/>
      <c r="C25" s="10"/>
      <c r="D25" s="10"/>
      <c r="E25" s="10"/>
      <c r="F25" s="14"/>
      <c r="G25" s="12"/>
      <c r="H25" s="12"/>
      <c r="I25" s="10"/>
    </row>
    <row r="26" spans="1:9">
      <c r="A26" s="10"/>
      <c r="C26" s="10"/>
      <c r="E26" s="10"/>
      <c r="F26" s="14"/>
      <c r="G26" s="12"/>
      <c r="H26" s="12"/>
      <c r="I26" s="10"/>
    </row>
    <row r="27" spans="1:9">
      <c r="A27" s="10"/>
      <c r="C27" s="10"/>
      <c r="E27" s="10"/>
      <c r="F27" s="14"/>
      <c r="G27" s="12"/>
      <c r="H27" s="12"/>
      <c r="I27" s="10"/>
    </row>
    <row r="28" spans="1:9">
      <c r="A28" s="10"/>
      <c r="B28" s="10"/>
      <c r="C28" s="10"/>
      <c r="I28" s="10"/>
    </row>
    <row r="29" spans="1:9">
      <c r="A29" s="10"/>
      <c r="B29" s="10"/>
      <c r="C29" s="10"/>
      <c r="E29" s="10"/>
      <c r="F29" s="11"/>
      <c r="G29" s="12"/>
      <c r="H29" s="12"/>
      <c r="I29" s="10"/>
    </row>
    <row r="30" spans="1:9">
      <c r="A30" s="10"/>
      <c r="B30" s="10"/>
      <c r="C30" s="10"/>
      <c r="E30" s="10"/>
      <c r="F30" s="11"/>
      <c r="G30" s="12"/>
      <c r="H30" s="12"/>
      <c r="I30" s="10"/>
    </row>
    <row r="31" spans="1:9">
      <c r="D31" s="10"/>
    </row>
    <row r="34" spans="2:4">
      <c r="C34" t="s">
        <v>67</v>
      </c>
      <c r="D34" s="13">
        <v>4</v>
      </c>
    </row>
    <row r="35" spans="2:4">
      <c r="B35" s="9" t="s">
        <v>31</v>
      </c>
      <c r="C35" t="s">
        <v>68</v>
      </c>
      <c r="D35" t="s">
        <v>69</v>
      </c>
    </row>
    <row r="36" spans="2:4">
      <c r="B36" s="10" t="s">
        <v>39</v>
      </c>
      <c r="C36" s="13">
        <v>1000</v>
      </c>
      <c r="D36" s="13">
        <f>D34*$C$36</f>
        <v>4000</v>
      </c>
    </row>
    <row r="37" spans="2:4">
      <c r="B37" s="10" t="s">
        <v>48</v>
      </c>
      <c r="C37" s="13">
        <v>500</v>
      </c>
      <c r="D37" s="13">
        <f t="shared" ref="D37:D44" si="1">C37*$D$34</f>
        <v>2000</v>
      </c>
    </row>
    <row r="38" spans="2:4">
      <c r="B38" s="10" t="s">
        <v>44</v>
      </c>
      <c r="C38" s="13">
        <v>2000</v>
      </c>
      <c r="D38" s="13">
        <f t="shared" si="1"/>
        <v>8000</v>
      </c>
    </row>
    <row r="39" spans="2:4">
      <c r="B39" s="10" t="s">
        <v>46</v>
      </c>
      <c r="C39" s="13">
        <v>1000</v>
      </c>
      <c r="D39" s="13">
        <f t="shared" si="1"/>
        <v>4000</v>
      </c>
    </row>
    <row r="40" spans="2:4" ht="18">
      <c r="B40" s="10" t="s">
        <v>52</v>
      </c>
      <c r="C40" s="13">
        <v>800</v>
      </c>
      <c r="D40" s="13">
        <f t="shared" si="1"/>
        <v>3200</v>
      </c>
    </row>
    <row r="41" spans="2:4" ht="18">
      <c r="B41" s="10" t="s">
        <v>54</v>
      </c>
      <c r="C41" s="13">
        <v>800</v>
      </c>
      <c r="D41" s="13">
        <f t="shared" si="1"/>
        <v>3200</v>
      </c>
    </row>
    <row r="42" spans="2:4">
      <c r="B42" s="10" t="s">
        <v>56</v>
      </c>
      <c r="C42" s="13">
        <v>500</v>
      </c>
      <c r="D42" s="13">
        <f t="shared" si="1"/>
        <v>2000</v>
      </c>
    </row>
    <row r="43" spans="2:4">
      <c r="B43" s="10" t="s">
        <v>57</v>
      </c>
      <c r="C43" s="13">
        <v>1000</v>
      </c>
      <c r="D43" s="13">
        <f t="shared" si="1"/>
        <v>4000</v>
      </c>
    </row>
    <row r="44" spans="2:4">
      <c r="B44" s="10" t="s">
        <v>59</v>
      </c>
      <c r="C44" s="13">
        <v>800</v>
      </c>
      <c r="D44" s="13">
        <f t="shared" si="1"/>
        <v>3200</v>
      </c>
    </row>
    <row r="45" spans="2:4">
      <c r="B45" s="10" t="s">
        <v>63</v>
      </c>
      <c r="C45" s="13">
        <v>500</v>
      </c>
      <c r="D45" s="13">
        <f>C45*$D$34</f>
        <v>2000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Олег Кравченко</dc:creator>
  <dc:description/>
  <cp:lastModifiedBy>User</cp:lastModifiedBy>
  <cp:revision>1</cp:revision>
  <dcterms:created xsi:type="dcterms:W3CDTF">2023-04-01T07:48:35Z</dcterms:created>
  <dcterms:modified xsi:type="dcterms:W3CDTF">2026-05-28T15:23:41Z</dcterms:modified>
  <dc:language>en-US</dc:language>
</cp:coreProperties>
</file>